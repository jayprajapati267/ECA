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\Downloads\ECA\"/>
    </mc:Choice>
  </mc:AlternateContent>
  <xr:revisionPtr revIDLastSave="0" documentId="8_{10F9F8B8-8500-4A7B-9B35-E7E108E5D954}" xr6:coauthVersionLast="47" xr6:coauthVersionMax="47" xr10:uidLastSave="{00000000-0000-0000-0000-000000000000}"/>
  <bookViews>
    <workbookView xWindow="-108" yWindow="-108" windowWidth="23256" windowHeight="12456" xr2:uid="{E1C61910-50F9-477D-A4CF-EF983888BB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F9" i="1"/>
  <c r="E9" i="1"/>
  <c r="D9" i="1"/>
  <c r="C9" i="1"/>
  <c r="B9" i="1"/>
  <c r="E8" i="1"/>
  <c r="D8" i="1"/>
  <c r="E7" i="1"/>
  <c r="D7" i="1"/>
  <c r="E6" i="1"/>
  <c r="D6" i="1"/>
  <c r="E5" i="1"/>
  <c r="D5" i="1"/>
  <c r="E4" i="1"/>
  <c r="D4" i="1"/>
  <c r="E3" i="1"/>
  <c r="D3" i="1"/>
</calcChain>
</file>

<file path=xl/sharedStrings.xml><?xml version="1.0" encoding="utf-8"?>
<sst xmlns="http://schemas.openxmlformats.org/spreadsheetml/2006/main" count="16" uniqueCount="16">
  <si>
    <t>Perform Cloud TCO and ROI Analysis for an Enterprise Workload (3 Years)</t>
  </si>
  <si>
    <t>Cost Item</t>
  </si>
  <si>
    <t>On-Prem / Year (₹)</t>
  </si>
  <si>
    <t>Cloud / Year (₹)</t>
  </si>
  <si>
    <t>3-Year On-Prem (₹)</t>
  </si>
  <si>
    <t>3-Year Cloud Recurring (₹)</t>
  </si>
  <si>
    <t>Compute / hosting</t>
  </si>
  <si>
    <t>Storage</t>
  </si>
  <si>
    <t>Network</t>
  </si>
  <si>
    <t>Operations staff</t>
  </si>
  <si>
    <t>Backup / DR</t>
  </si>
  <si>
    <t>Facilities / power</t>
  </si>
  <si>
    <t>TOTAL</t>
  </si>
  <si>
    <t>One-time migration cost</t>
  </si>
  <si>
    <t xml:space="preserve"> ROI</t>
  </si>
  <si>
    <t>TCO saving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</si>
</sst>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center" wrapText="1"/>
    </xf>
    <xf numFmtId="0" fontId="0" fillId="2" borderId="1" xfId="0" applyFill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164" fontId="0" fillId="2" borderId="1" xfId="0" applyNumberFormat="1" applyFill="1" applyBorder="1" applyAlignment="1">
      <alignment vertical="center" wrapText="1"/>
    </xf>
    <xf numFmtId="0" fontId="0" fillId="0" borderId="2" xfId="0" applyBorder="1"/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458D7-C471-40C2-B4D0-7E955262FB63}">
  <dimension ref="A1:K11"/>
  <sheetViews>
    <sheetView tabSelected="1" zoomScaleNormal="100" workbookViewId="0">
      <selection activeCell="I4" sqref="I4"/>
    </sheetView>
  </sheetViews>
  <sheetFormatPr defaultRowHeight="14.4" x14ac:dyDescent="0.3"/>
  <cols>
    <col min="1" max="1" width="15.44140625" customWidth="1"/>
    <col min="2" max="2" width="16.109375" customWidth="1"/>
    <col min="3" max="3" width="13.77734375" customWidth="1"/>
    <col min="4" max="4" width="16.77734375" customWidth="1"/>
    <col min="5" max="5" width="18.33203125" customWidth="1"/>
    <col min="6" max="6" width="17.88671875" customWidth="1"/>
    <col min="7" max="7" width="17.5546875" customWidth="1"/>
    <col min="8" max="8" width="20.44140625" customWidth="1"/>
    <col min="9" max="10" width="17.77734375" customWidth="1"/>
  </cols>
  <sheetData>
    <row r="1" spans="1:11" ht="19.8" x14ac:dyDescent="0.3">
      <c r="A1" s="4" t="s">
        <v>0</v>
      </c>
      <c r="B1" s="4"/>
      <c r="C1" s="4"/>
      <c r="D1" s="4"/>
      <c r="E1" s="4"/>
      <c r="F1" s="4"/>
      <c r="G1" s="2"/>
      <c r="H1" s="3"/>
      <c r="I1" s="13"/>
      <c r="J1" s="7"/>
    </row>
    <row r="2" spans="1:11" ht="29.4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10" t="s">
        <v>13</v>
      </c>
      <c r="G2" s="11" t="s">
        <v>15</v>
      </c>
      <c r="H2" s="11" t="s">
        <v>14</v>
      </c>
      <c r="I2" s="12"/>
      <c r="J2" s="12"/>
      <c r="K2" s="9"/>
    </row>
    <row r="3" spans="1:11" ht="14.4" customHeight="1" x14ac:dyDescent="0.3">
      <c r="A3" s="1" t="s">
        <v>6</v>
      </c>
      <c r="B3" s="6">
        <v>110000</v>
      </c>
      <c r="C3" s="6">
        <v>82000</v>
      </c>
      <c r="D3" s="6">
        <f t="shared" ref="D3:E8" si="0">B3*3</f>
        <v>330000</v>
      </c>
      <c r="E3" s="6">
        <f t="shared" si="0"/>
        <v>246000</v>
      </c>
      <c r="F3" s="6">
        <v>30000</v>
      </c>
      <c r="G3" s="6"/>
      <c r="H3" s="3"/>
      <c r="I3" s="9"/>
      <c r="J3" s="9"/>
      <c r="K3" s="9"/>
    </row>
    <row r="4" spans="1:11" x14ac:dyDescent="0.3">
      <c r="A4" s="1" t="s">
        <v>7</v>
      </c>
      <c r="B4" s="6">
        <v>28000</v>
      </c>
      <c r="C4" s="6">
        <v>16000</v>
      </c>
      <c r="D4" s="6">
        <f t="shared" si="0"/>
        <v>84000</v>
      </c>
      <c r="E4" s="6">
        <f t="shared" si="0"/>
        <v>48000</v>
      </c>
      <c r="F4" s="6">
        <v>10000</v>
      </c>
      <c r="G4" s="6"/>
      <c r="H4" s="3"/>
      <c r="I4" s="9"/>
      <c r="J4" s="9"/>
      <c r="K4" s="9"/>
    </row>
    <row r="5" spans="1:11" x14ac:dyDescent="0.3">
      <c r="A5" s="1" t="s">
        <v>8</v>
      </c>
      <c r="B5" s="6">
        <v>24000</v>
      </c>
      <c r="C5" s="6">
        <v>20000</v>
      </c>
      <c r="D5" s="6">
        <f t="shared" si="0"/>
        <v>72000</v>
      </c>
      <c r="E5" s="6">
        <f t="shared" si="0"/>
        <v>60000</v>
      </c>
      <c r="F5" s="6">
        <v>8000</v>
      </c>
      <c r="G5" s="6"/>
      <c r="H5" s="3"/>
      <c r="I5" s="9"/>
      <c r="J5" s="9"/>
      <c r="K5" s="9"/>
    </row>
    <row r="6" spans="1:11" x14ac:dyDescent="0.3">
      <c r="A6" s="1" t="s">
        <v>9</v>
      </c>
      <c r="B6" s="6">
        <v>85000</v>
      </c>
      <c r="C6" s="6">
        <v>58000</v>
      </c>
      <c r="D6" s="6">
        <f t="shared" si="0"/>
        <v>255000</v>
      </c>
      <c r="E6" s="6">
        <f t="shared" si="0"/>
        <v>174000</v>
      </c>
      <c r="F6" s="6">
        <v>25000</v>
      </c>
      <c r="G6" s="6"/>
      <c r="H6" s="3"/>
      <c r="I6" s="9"/>
      <c r="J6" s="9"/>
      <c r="K6" s="9"/>
    </row>
    <row r="7" spans="1:11" x14ac:dyDescent="0.3">
      <c r="A7" s="1" t="s">
        <v>10</v>
      </c>
      <c r="B7" s="6">
        <v>18000</v>
      </c>
      <c r="C7" s="6">
        <v>12000</v>
      </c>
      <c r="D7" s="6">
        <f t="shared" si="0"/>
        <v>54000</v>
      </c>
      <c r="E7" s="6">
        <f t="shared" si="0"/>
        <v>36000</v>
      </c>
      <c r="F7" s="6">
        <v>7000</v>
      </c>
      <c r="G7" s="6"/>
      <c r="H7" s="3"/>
      <c r="I7" s="9"/>
      <c r="J7" s="9"/>
      <c r="K7" s="9"/>
    </row>
    <row r="8" spans="1:11" x14ac:dyDescent="0.3">
      <c r="A8" s="1" t="s">
        <v>11</v>
      </c>
      <c r="B8" s="6">
        <v>30000</v>
      </c>
      <c r="C8" s="6">
        <v>0</v>
      </c>
      <c r="D8" s="6">
        <f t="shared" si="0"/>
        <v>90000</v>
      </c>
      <c r="E8" s="6">
        <f t="shared" si="0"/>
        <v>0</v>
      </c>
      <c r="F8" s="6">
        <v>20000</v>
      </c>
      <c r="G8" s="6"/>
      <c r="H8" s="3"/>
      <c r="I8" s="9"/>
      <c r="J8" s="9"/>
      <c r="K8" s="9"/>
    </row>
    <row r="9" spans="1:11" x14ac:dyDescent="0.3">
      <c r="A9" s="1" t="s">
        <v>12</v>
      </c>
      <c r="B9" s="6">
        <f>SUM(B3:B8)</f>
        <v>295000</v>
      </c>
      <c r="C9" s="6">
        <f>SUM(C3:C8)</f>
        <v>188000</v>
      </c>
      <c r="D9" s="6">
        <f>SUM(D3:D8)</f>
        <v>885000</v>
      </c>
      <c r="E9" s="6">
        <f>SUM(E3:E8)</f>
        <v>564000</v>
      </c>
      <c r="F9" s="6">
        <f>SUM(F3:F8)</f>
        <v>100000</v>
      </c>
      <c r="G9" s="6">
        <v>221000</v>
      </c>
      <c r="H9" s="3">
        <f>(G9-F9)/F9*100</f>
        <v>121</v>
      </c>
      <c r="I9" s="9"/>
      <c r="J9" s="9"/>
      <c r="K9" s="9"/>
    </row>
    <row r="10" spans="1:11" s="9" customFormat="1" ht="15" customHeight="1" x14ac:dyDescent="0.3">
      <c r="A10" s="8"/>
      <c r="B10" s="8"/>
      <c r="C10" s="8"/>
      <c r="D10" s="8"/>
      <c r="E10" s="8"/>
      <c r="F10" s="8"/>
    </row>
    <row r="11" spans="1:11" ht="15" customHeight="1" x14ac:dyDescent="0.3"/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Agrawal</dc:creator>
  <cp:lastModifiedBy>Harsh Agrawal</cp:lastModifiedBy>
  <dcterms:created xsi:type="dcterms:W3CDTF">2026-10-13T13:29:35Z</dcterms:created>
  <dcterms:modified xsi:type="dcterms:W3CDTF">2026-10-13T13:47:40Z</dcterms:modified>
</cp:coreProperties>
</file>